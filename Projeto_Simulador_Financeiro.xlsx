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f_a\OneDrive\Área de Trabalho\Projeto_Simulador_Financeiro\"/>
    </mc:Choice>
  </mc:AlternateContent>
  <xr:revisionPtr revIDLastSave="0" documentId="13_ncr:1_{151A8A03-797F-4AB0-80D8-F972B8614107}" xr6:coauthVersionLast="47" xr6:coauthVersionMax="47" xr10:uidLastSave="{00000000-0000-0000-0000-000000000000}"/>
  <bookViews>
    <workbookView xWindow="-108" yWindow="-108" windowWidth="23256" windowHeight="12456" xr2:uid="{774F6A42-F130-4BF8-AD6F-B6AAACCC4796}"/>
  </bookViews>
  <sheets>
    <sheet name="App" sheetId="1" r:id="rId1"/>
    <sheet name="Apoio" sheetId="2" r:id="rId2"/>
  </sheets>
  <definedNames>
    <definedName name="Aporte">App!$D$16</definedName>
    <definedName name="investimento_mes">App!$C$31</definedName>
    <definedName name="patrimonio">App!$D$19</definedName>
    <definedName name="qtd_anos">App!$D$17</definedName>
    <definedName name="Rendimento_Carteira">App!$D$12</definedName>
    <definedName name="taxa_mensal">App!$D$18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36" i="1"/>
  <c r="C35" i="1"/>
  <c r="C31" i="1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D19" i="1"/>
  <c r="D20" i="1" s="1"/>
  <c r="D13" i="1"/>
  <c r="C24" i="1"/>
  <c r="D24" i="1" s="1"/>
  <c r="C25" i="1"/>
  <c r="D25" i="1" s="1"/>
  <c r="C26" i="1"/>
  <c r="D26" i="1" s="1"/>
  <c r="C27" i="1"/>
  <c r="D27" i="1" s="1"/>
  <c r="C23" i="1"/>
  <c r="D23" i="1" s="1"/>
  <c r="D35" i="1" l="1"/>
  <c r="D36" i="1"/>
  <c r="D40" i="1"/>
  <c r="D39" i="1"/>
  <c r="D38" i="1"/>
  <c r="D37" i="1"/>
  <c r="D41" i="1" l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<sst xmlns="http://schemas.openxmlformats.org/spreadsheetml/2006/main" count="69" uniqueCount="33">
  <si>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</si>
  <si>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</si>
  <si>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</si>
  <si>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</si>
  <si>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</si>
  <si>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</si>
  <si>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 POSSÍVEIS</t>
  </si>
  <si>
    <t>CONFIGURAÇÕES</t>
  </si>
  <si>
    <t>Salário</t>
  </si>
  <si>
    <t>Rendimento de Carteira</t>
  </si>
  <si>
    <t>Sugestão de Investimento (30%)</t>
  </si>
  <si>
    <t>Patrimônio em 2 anos</t>
  </si>
  <si>
    <t>Patrimônio em 5 anos</t>
  </si>
  <si>
    <t>Patrimônio em 10 anos</t>
  </si>
  <si>
    <t>Patrimônio em 20 anos</t>
  </si>
  <si>
    <t>Patrimônio em 30 anos</t>
  </si>
  <si>
    <t>DIVIDENDOS</t>
  </si>
  <si>
    <t>CHAVE</t>
  </si>
  <si>
    <t>PERFIL</t>
  </si>
  <si>
    <t>TIPO DE FII</t>
  </si>
  <si>
    <t>%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</si>
  <si>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</si>
  <si>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</si>
  <si>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</si>
  <si>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</si>
  <si>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</si>
  <si>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</si>
  <si>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</si>
  <si>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</si>
  <si>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</si>
  <si>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>VALOR A SER INVESTIDO POR MÊS</t>
  </si>
  <si>
    <t>PERCENTUAL SUGERIDO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</si>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</sst>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/>
      <top/>
      <bottom style="medium">
        <color theme="0" tint="-4.9989318521683403E-2"/>
      </bottom>
      <diagonal/>
    </border>
    <border>
      <left/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theme="0" tint="-4.9989318521683403E-2"/>
      </top>
      <bottom style="medium">
        <color indexed="64"/>
      </bottom>
      <diagonal/>
    </border>
    <border>
      <left/>
      <right/>
      <top style="medium">
        <color theme="0" tint="-4.9989318521683403E-2"/>
      </top>
      <bottom style="medium">
        <color indexed="64"/>
      </bottom>
      <diagonal/>
    </border>
    <border>
      <left/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9" fontId="0" fillId="0" borderId="0" xfId="0" applyNumberFormat="1"/>
    <xf numFmtId="164" fontId="8" fillId="2" borderId="5" xfId="1" applyNumberFormat="1" applyFont="1" applyFill="1" applyBorder="1" applyAlignment="1">
      <alignment horizontal="center"/>
    </xf>
    <xf numFmtId="164" fontId="8" fillId="2" borderId="6" xfId="1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164" fontId="8" fillId="2" borderId="20" xfId="0" applyNumberFormat="1" applyFont="1" applyFill="1" applyBorder="1" applyAlignment="1">
      <alignment horizontal="center"/>
    </xf>
    <xf numFmtId="8" fontId="6" fillId="2" borderId="25" xfId="0" applyNumberFormat="1" applyFont="1" applyFill="1" applyBorder="1" applyAlignment="1">
      <alignment horizontal="center"/>
    </xf>
    <xf numFmtId="8" fontId="6" fillId="2" borderId="28" xfId="0" applyNumberFormat="1" applyFont="1" applyFill="1" applyBorder="1" applyAlignment="1">
      <alignment horizontal="center"/>
    </xf>
    <xf numFmtId="0" fontId="8" fillId="2" borderId="29" xfId="0" applyFont="1" applyFill="1" applyBorder="1"/>
    <xf numFmtId="164" fontId="8" fillId="2" borderId="30" xfId="1" applyNumberFormat="1" applyFont="1" applyFill="1" applyBorder="1" applyAlignment="1">
      <alignment horizontal="center"/>
    </xf>
    <xf numFmtId="0" fontId="8" fillId="2" borderId="31" xfId="0" applyFont="1" applyFill="1" applyBorder="1"/>
    <xf numFmtId="164" fontId="8" fillId="2" borderId="32" xfId="1" applyNumberFormat="1" applyFont="1" applyFill="1" applyBorder="1" applyAlignment="1">
      <alignment horizontal="center"/>
    </xf>
    <xf numFmtId="0" fontId="8" fillId="2" borderId="33" xfId="0" applyFont="1" applyFill="1" applyBorder="1"/>
    <xf numFmtId="164" fontId="8" fillId="2" borderId="34" xfId="1" applyNumberFormat="1" applyFont="1" applyFill="1" applyBorder="1" applyAlignment="1">
      <alignment horizontal="center"/>
    </xf>
    <xf numFmtId="164" fontId="8" fillId="2" borderId="35" xfId="1" applyNumberFormat="1" applyFont="1" applyFill="1" applyBorder="1" applyAlignment="1">
      <alignment horizontal="center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38" xfId="0" applyBorder="1"/>
    <xf numFmtId="0" fontId="0" fillId="0" borderId="38" xfId="0" applyBorder="1" applyAlignment="1">
      <alignment horizontal="center"/>
    </xf>
    <xf numFmtId="9" fontId="0" fillId="0" borderId="38" xfId="0" applyNumberFormat="1" applyBorder="1" applyAlignment="1">
      <alignment horizontal="center"/>
    </xf>
    <xf numFmtId="0" fontId="4" fillId="0" borderId="0" xfId="0" applyFont="1"/>
    <xf numFmtId="164" fontId="0" fillId="0" borderId="0" xfId="0" applyNumberFormat="1" applyAlignment="1">
      <alignment horizontal="center"/>
    </xf>
    <xf numFmtId="0" fontId="4" fillId="6" borderId="0" xfId="0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3" fillId="7" borderId="1" xfId="2" applyFont="1" applyFill="1"/>
    <xf numFmtId="0" fontId="5" fillId="7" borderId="1" xfId="2" applyFont="1" applyFill="1"/>
    <xf numFmtId="164" fontId="8" fillId="0" borderId="15" xfId="1" applyNumberFormat="1" applyFont="1" applyBorder="1" applyAlignment="1" applyProtection="1">
      <alignment horizontal="center"/>
      <protection locked="0"/>
    </xf>
    <xf numFmtId="10" fontId="8" fillId="0" borderId="17" xfId="0" applyNumberFormat="1" applyFont="1" applyBorder="1" applyAlignment="1" applyProtection="1">
      <alignment horizontal="center"/>
      <protection locked="0"/>
    </xf>
    <xf numFmtId="164" fontId="6" fillId="0" borderId="36" xfId="1" applyNumberFormat="1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10" fontId="6" fillId="0" borderId="22" xfId="0" applyNumberFormat="1" applyFont="1" applyBorder="1" applyAlignment="1" applyProtection="1">
      <alignment horizontal="center"/>
      <protection locked="0"/>
    </xf>
    <xf numFmtId="164" fontId="8" fillId="2" borderId="14" xfId="1" applyNumberFormat="1" applyFont="1" applyFill="1" applyBorder="1" applyAlignment="1">
      <alignment horizontal="center"/>
    </xf>
    <xf numFmtId="164" fontId="8" fillId="2" borderId="12" xfId="1" applyNumberFormat="1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10" fontId="8" fillId="2" borderId="18" xfId="0" applyNumberFormat="1" applyFont="1" applyFill="1" applyBorder="1" applyAlignment="1">
      <alignment horizontal="center"/>
    </xf>
    <xf numFmtId="10" fontId="8" fillId="2" borderId="19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8" fillId="0" borderId="37" xfId="1" applyNumberFormat="1" applyFont="1" applyBorder="1" applyAlignment="1">
      <alignment horizontal="center"/>
    </xf>
    <xf numFmtId="164" fontId="8" fillId="0" borderId="7" xfId="1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0" fontId="8" fillId="0" borderId="21" xfId="0" applyNumberFormat="1" applyFont="1" applyBorder="1" applyAlignment="1">
      <alignment horizontal="center"/>
    </xf>
    <xf numFmtId="10" fontId="8" fillId="0" borderId="9" xfId="0" applyNumberFormat="1" applyFont="1" applyBorder="1" applyAlignment="1">
      <alignment horizontal="center"/>
    </xf>
    <xf numFmtId="8" fontId="6" fillId="2" borderId="24" xfId="0" applyNumberFormat="1" applyFont="1" applyFill="1" applyBorder="1" applyAlignment="1">
      <alignment horizontal="center"/>
    </xf>
    <xf numFmtId="8" fontId="6" fillId="2" borderId="23" xfId="0" applyNumberFormat="1" applyFont="1" applyFill="1" applyBorder="1" applyAlignment="1">
      <alignment horizontal="center"/>
    </xf>
    <xf numFmtId="8" fontId="6" fillId="2" borderId="26" xfId="0" applyNumberFormat="1" applyFont="1" applyFill="1" applyBorder="1" applyAlignment="1">
      <alignment horizontal="center"/>
    </xf>
    <xf numFmtId="8" fontId="6" fillId="2" borderId="27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3" fillId="7" borderId="1" xfId="2" applyFont="1" applyFill="1" applyProtection="1">
      <protection locked="0"/>
    </xf>
    <xf numFmtId="0" fontId="4" fillId="0" borderId="0" xfId="0" applyFont="1" applyProtection="1">
      <protection locked="0"/>
    </xf>
  </cellXfs>
  <cellStyles count="3">
    <cellStyle name="Célula Vinculada" xfId="2" builtinId="24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App!$C$34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C7-4252-A685-835D814FC8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C7-4252-A685-835D814FC8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C7-4252-A685-835D814FC8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C7-4252-A685-835D814FC8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6C7-4252-A685-835D814FC8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6C7-4252-A685-835D814FC8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B-42D8-96E9-C90E034F7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228600</xdr:colOff>
      <xdr:row>0</xdr:row>
      <xdr:rowOff>38101</xdr:rowOff>
    </xdr:from>
    <xdr:to>
      <xdr:col>3</xdr:col>
      <xdr:colOff>3093720</xdr:colOff>
      <xdr:row>8</xdr:row>
      <xdr:rowOff>7621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015B9E-7ED7-911D-9F1C-0C85CD95D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38101"/>
          <a:ext cx="7094220" cy="143256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42</xdr:row>
      <xdr:rowOff>95250</xdr:rowOff>
    </xdr:from>
    <xdr:to>
      <xdr:col>3</xdr:col>
      <xdr:colOff>3558540</xdr:colOff>
      <xdr:row>57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D7D325-596F-3691-DD80-31C729606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CB1A-265D-4B53-9001-8154F66D32F6}">
  <dimension ref="A9:F67"/>
  <sheetViews>
    <sheetView showGridLines="0" showRowColHeaders="0" tabSelected="1" zoomScale="90" zoomScaleNormal="90" workbookViewId="0">
      <selection activeCell="F18" sqref="F18"/>
    </sheetView>
  </sheetViews>
  <sheetFormatPr defaultColWidth="0" defaultRowHeight="14.4" x14ac:dyDescent="0.3"/>
  <cols>
    <col min="1" max="1" width="8.88671875" customWidth="1"/>
    <col min="2" max="2" width="38.33203125" bestFit="1" customWidth="1"/>
    <col min="3" max="3" width="23.33203125" customWidth="1"/>
    <col min="4" max="4" width="52" bestFit="1" customWidth="1"/>
    <col min="5" max="6" width="8.88671875" customWidth="1"/>
    <col min="7" max="16384" width="8.88671875" hidden="1"/>
  </cols>
  <sheetData>
    <row r="9" spans="2:4" ht="15" thickBot="1" x14ac:dyDescent="0.35"/>
    <row r="10" spans="2:4" ht="21" x14ac:dyDescent="0.4">
      <c r="B10" s="40" t="s">
        <v>7</v>
      </c>
      <c r="C10" s="41"/>
      <c r="D10" s="42"/>
    </row>
    <row r="11" spans="2:4" ht="18.600000000000001" thickBot="1" x14ac:dyDescent="0.4">
      <c r="B11" s="34" t="s">
        <v>8</v>
      </c>
      <c r="C11" s="35"/>
      <c r="D11" s="29">
        <v>2000</v>
      </c>
    </row>
    <row r="12" spans="2:4" ht="18.600000000000001" thickBot="1" x14ac:dyDescent="0.4">
      <c r="B12" s="36" t="s">
        <v>9</v>
      </c>
      <c r="C12" s="37"/>
      <c r="D12" s="30">
        <v>0.01</v>
      </c>
    </row>
    <row r="13" spans="2:4" ht="18.600000000000001" thickBot="1" x14ac:dyDescent="0.4">
      <c r="B13" s="38" t="s">
        <v>10</v>
      </c>
      <c r="C13" s="39"/>
      <c r="D13" s="7">
        <f>D11*30%</f>
        <v>600</v>
      </c>
    </row>
    <row r="14" spans="2:4" ht="15" thickBot="1" x14ac:dyDescent="0.35"/>
    <row r="15" spans="2:4" ht="21" x14ac:dyDescent="0.4">
      <c r="B15" s="55" t="s">
        <v>0</v>
      </c>
      <c r="C15" s="56"/>
      <c r="D15" s="57"/>
    </row>
    <row r="16" spans="2:4" ht="18" x14ac:dyDescent="0.35">
      <c r="B16" s="45" t="s">
        <v>1</v>
      </c>
      <c r="C16" s="46"/>
      <c r="D16" s="31">
        <v>200</v>
      </c>
    </row>
    <row r="17" spans="1:4" ht="18" x14ac:dyDescent="0.35">
      <c r="B17" s="47" t="s">
        <v>2</v>
      </c>
      <c r="C17" s="48"/>
      <c r="D17" s="32">
        <v>4</v>
      </c>
    </row>
    <row r="18" spans="1:4" ht="18" x14ac:dyDescent="0.35">
      <c r="B18" s="49" t="s">
        <v>3</v>
      </c>
      <c r="C18" s="50"/>
      <c r="D18" s="33">
        <v>0.01</v>
      </c>
    </row>
    <row r="19" spans="1:4" ht="18.600000000000001" thickBot="1" x14ac:dyDescent="0.4">
      <c r="B19" s="51" t="s">
        <v>4</v>
      </c>
      <c r="C19" s="52"/>
      <c r="D19" s="8">
        <f>FV(taxa_mensal,qtd_anos*12,Aporte*-1)</f>
        <v>12244.521553649305</v>
      </c>
    </row>
    <row r="20" spans="1:4" ht="18.600000000000001" thickBot="1" x14ac:dyDescent="0.4">
      <c r="B20" s="53" t="s">
        <v>5</v>
      </c>
      <c r="C20" s="54"/>
      <c r="D20" s="9">
        <f>patrimonio*Rendimento_Carteira</f>
        <v>122.44521553649305</v>
      </c>
    </row>
    <row r="21" spans="1:4" ht="15" thickBot="1" x14ac:dyDescent="0.35"/>
    <row r="22" spans="1:4" ht="18" x14ac:dyDescent="0.35">
      <c r="B22" s="43" t="s">
        <v>6</v>
      </c>
      <c r="C22" s="44"/>
      <c r="D22" s="6" t="s">
        <v>16</v>
      </c>
    </row>
    <row r="23" spans="1:4" ht="18" x14ac:dyDescent="0.35">
      <c r="A23" s="2">
        <v>2</v>
      </c>
      <c r="B23" s="10" t="s">
        <v>11</v>
      </c>
      <c r="C23" s="4">
        <f>FV($D$18,$A23*12,$D$16*-1)</f>
        <v>5394.6929706382998</v>
      </c>
      <c r="D23" s="11">
        <f>C23*Rendimento_Carteira</f>
        <v>53.946929706383003</v>
      </c>
    </row>
    <row r="24" spans="1:4" ht="18" x14ac:dyDescent="0.35">
      <c r="A24" s="2">
        <v>5</v>
      </c>
      <c r="B24" s="12" t="s">
        <v>12</v>
      </c>
      <c r="C24" s="5">
        <f>FV($D$18,$A24*12,$D$16*-1)</f>
        <v>16333.933971281826</v>
      </c>
      <c r="D24" s="13">
        <f>C24*Rendimento_Carteira</f>
        <v>163.33933971281826</v>
      </c>
    </row>
    <row r="25" spans="1:4" ht="18" x14ac:dyDescent="0.35">
      <c r="A25" s="2">
        <v>10</v>
      </c>
      <c r="B25" s="12" t="s">
        <v>13</v>
      </c>
      <c r="C25" s="5">
        <f>FV($D$18,$A25*12,$D$16*-1)</f>
        <v>46007.7378914734</v>
      </c>
      <c r="D25" s="13">
        <f>C25*Rendimento_Carteira</f>
        <v>460.07737891473403</v>
      </c>
    </row>
    <row r="26" spans="1:4" ht="18" x14ac:dyDescent="0.35">
      <c r="A26" s="2">
        <v>20</v>
      </c>
      <c r="B26" s="12" t="s">
        <v>14</v>
      </c>
      <c r="C26" s="5">
        <f>FV($D$18,$A26*12,$D$16*-1)</f>
        <v>197851.0730774726</v>
      </c>
      <c r="D26" s="13">
        <f>C26*Rendimento_Carteira</f>
        <v>1978.510730774726</v>
      </c>
    </row>
    <row r="27" spans="1:4" ht="18.600000000000001" thickBot="1" x14ac:dyDescent="0.4">
      <c r="A27" s="2">
        <v>30</v>
      </c>
      <c r="B27" s="14" t="s">
        <v>15</v>
      </c>
      <c r="C27" s="15">
        <f>FV($D$18,$A27*12,$D$16*-1)</f>
        <v>698992.82655370131</v>
      </c>
      <c r="D27" s="16">
        <f>C27*Rendimento_Carteira</f>
        <v>6989.9282655370134</v>
      </c>
    </row>
    <row r="30" spans="1:4" ht="15" thickBot="1" x14ac:dyDescent="0.35">
      <c r="B30" s="27" t="s">
        <v>18</v>
      </c>
      <c r="C30" s="58" t="s">
        <v>21</v>
      </c>
      <c r="D30" s="28"/>
    </row>
    <row r="31" spans="1:4" ht="15" thickTop="1" x14ac:dyDescent="0.3">
      <c r="B31" s="23" t="s">
        <v>30</v>
      </c>
      <c r="C31" s="59">
        <f>Aporte</f>
        <v>200</v>
      </c>
    </row>
    <row r="34" spans="2:4" x14ac:dyDescent="0.3">
      <c r="B34" s="25" t="s">
        <v>19</v>
      </c>
      <c r="C34" s="25" t="s">
        <v>31</v>
      </c>
      <c r="D34" s="25" t="s">
        <v>32</v>
      </c>
    </row>
    <row r="35" spans="2:4" x14ac:dyDescent="0.3">
      <c r="B35" s="1" t="s">
        <v>22</v>
      </c>
      <c r="C35" s="3">
        <f>VLOOKUP(App!C30&amp;"-"&amp;App!B35,Apoio!$A$3:$D$20,4,FALSE)</f>
        <v>0.3</v>
      </c>
      <c r="D35" s="24">
        <f t="shared" ref="D35:D40" si="0">C35*investimento_mes</f>
        <v>60</v>
      </c>
    </row>
    <row r="36" spans="2:4" x14ac:dyDescent="0.3">
      <c r="B36" s="1" t="s">
        <v>23</v>
      </c>
      <c r="C36" s="3">
        <f>VLOOKUP(App!$C$30&amp;"-"&amp;App!B36,Apoio!$A$3:$D$20,4,FALSE)</f>
        <v>0.5</v>
      </c>
      <c r="D36" s="24">
        <f t="shared" si="0"/>
        <v>100</v>
      </c>
    </row>
    <row r="37" spans="2:4" x14ac:dyDescent="0.3">
      <c r="B37" s="1" t="s">
        <v>24</v>
      </c>
      <c r="C37" s="3">
        <f>VLOOKUP(App!$C$30&amp;"-"&amp;App!B37,Apoio!$A$3:$D$20,4,FALSE)</f>
        <v>0.1</v>
      </c>
      <c r="D37" s="24">
        <f t="shared" si="0"/>
        <v>20</v>
      </c>
    </row>
    <row r="38" spans="2:4" x14ac:dyDescent="0.3">
      <c r="B38" s="1" t="s">
        <v>25</v>
      </c>
      <c r="C38" s="3">
        <f>VLOOKUP(App!$C$30&amp;"-"&amp;App!B38,Apoio!$A$3:$D$20,4,FALSE)</f>
        <v>0.1</v>
      </c>
      <c r="D38" s="24">
        <f t="shared" si="0"/>
        <v>20</v>
      </c>
    </row>
    <row r="39" spans="2:4" x14ac:dyDescent="0.3">
      <c r="B39" s="1" t="s">
        <v>26</v>
      </c>
      <c r="C39" s="3">
        <f>VLOOKUP(App!$C$30&amp;"-"&amp;App!B39,Apoio!$A$3:$D$20,4,FALSE)</f>
        <v>0</v>
      </c>
      <c r="D39" s="24">
        <f t="shared" si="0"/>
        <v>0</v>
      </c>
    </row>
    <row r="40" spans="2:4" x14ac:dyDescent="0.3">
      <c r="B40" s="1" t="s">
        <v>27</v>
      </c>
      <c r="C40" s="3">
        <f>VLOOKUP(App!$C$30&amp;"-"&amp;App!B40,Apoio!$A$3:$D$20,4,FALSE)</f>
        <v>0</v>
      </c>
      <c r="D40" s="24">
        <f t="shared" si="0"/>
        <v>0</v>
      </c>
    </row>
    <row r="41" spans="2:4" x14ac:dyDescent="0.3">
      <c r="B41" s="25"/>
      <c r="C41" s="25"/>
      <c r="D41" s="26">
        <f>SUM(D35:D40)</f>
        <v>200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</sheetData>
  <sheetProtection sheet="1" objects="1" scenarios="1"/>
  <mergeCells count="11">
    <mergeCell ref="B11:C11"/>
    <mergeCell ref="B12:C12"/>
    <mergeCell ref="B13:C13"/>
    <mergeCell ref="B10:D10"/>
    <mergeCell ref="B22:C22"/>
    <mergeCell ref="B16:C16"/>
    <mergeCell ref="B17:C17"/>
    <mergeCell ref="B18:C18"/>
    <mergeCell ref="B19:C19"/>
    <mergeCell ref="B20:C20"/>
    <mergeCell ref="B15:D15"/>
  </mergeCells>
  <dataValidations count="1">
    <dataValidation type="list" allowBlank="1" showInputMessage="1" showErrorMessage="1" sqref="C30" xr:uid="{7E43C0EC-006A-4544-A2C4-70A5C43255F9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3637-AD67-4497-818A-6D5FAC785C82}">
  <dimension ref="A2:D20"/>
  <sheetViews>
    <sheetView workbookViewId="0">
      <selection activeCell="D14" sqref="D14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7" max="7" width="15.44140625" bestFit="1" customWidth="1"/>
  </cols>
  <sheetData>
    <row r="2" spans="1:4" x14ac:dyDescent="0.3">
      <c r="A2" s="17" t="s">
        <v>17</v>
      </c>
      <c r="B2" s="17" t="s">
        <v>18</v>
      </c>
      <c r="C2" s="18" t="s">
        <v>19</v>
      </c>
      <c r="D2" s="18" t="s">
        <v>20</v>
      </c>
    </row>
    <row r="3" spans="1:4" x14ac:dyDescent="0.3">
      <c r="A3" t="str">
        <f>B3&amp;"-"&amp;C3</f>
        <v>Conservador-PAPEL</v>
      </c>
      <c r="B3" t="s">
        <v>21</v>
      </c>
      <c r="C3" s="1" t="s">
        <v>22</v>
      </c>
      <c r="D3" s="19">
        <v>0.3</v>
      </c>
    </row>
    <row r="4" spans="1:4" x14ac:dyDescent="0.3">
      <c r="A4" t="str">
        <f t="shared" ref="A4:A20" si="0">B4&amp;"-"&amp;C4</f>
        <v>Conservador-TIJOLO</v>
      </c>
      <c r="B4" t="s">
        <v>21</v>
      </c>
      <c r="C4" s="1" t="s">
        <v>23</v>
      </c>
      <c r="D4" s="19">
        <v>0.5</v>
      </c>
    </row>
    <row r="5" spans="1:4" x14ac:dyDescent="0.3">
      <c r="A5" t="str">
        <f t="shared" si="0"/>
        <v>Conservador-HÍBRIDOS</v>
      </c>
      <c r="B5" t="s">
        <v>21</v>
      </c>
      <c r="C5" s="1" t="s">
        <v>24</v>
      </c>
      <c r="D5" s="19">
        <v>0.1</v>
      </c>
    </row>
    <row r="6" spans="1:4" x14ac:dyDescent="0.3">
      <c r="A6" t="str">
        <f t="shared" si="0"/>
        <v>Conservador-FOFs</v>
      </c>
      <c r="B6" t="s">
        <v>21</v>
      </c>
      <c r="C6" s="1" t="s">
        <v>25</v>
      </c>
      <c r="D6" s="19">
        <v>0.1</v>
      </c>
    </row>
    <row r="7" spans="1:4" x14ac:dyDescent="0.3">
      <c r="A7" t="str">
        <f t="shared" si="0"/>
        <v>Conservador-DESENVOLVIMENTO</v>
      </c>
      <c r="B7" t="s">
        <v>21</v>
      </c>
      <c r="C7" s="1" t="s">
        <v>26</v>
      </c>
      <c r="D7" s="19">
        <v>0</v>
      </c>
    </row>
    <row r="8" spans="1:4" ht="15" thickBot="1" x14ac:dyDescent="0.35">
      <c r="A8" s="20" t="str">
        <f t="shared" si="0"/>
        <v>Conservador-HOTELARIAS</v>
      </c>
      <c r="B8" s="20" t="s">
        <v>21</v>
      </c>
      <c r="C8" s="21" t="s">
        <v>27</v>
      </c>
      <c r="D8" s="22">
        <v>0</v>
      </c>
    </row>
    <row r="9" spans="1:4" x14ac:dyDescent="0.3">
      <c r="A9" t="str">
        <f t="shared" si="0"/>
        <v>Moderado-PAPEL</v>
      </c>
      <c r="B9" t="s">
        <v>28</v>
      </c>
      <c r="C9" s="1" t="s">
        <v>22</v>
      </c>
      <c r="D9" s="19">
        <v>0.32</v>
      </c>
    </row>
    <row r="10" spans="1:4" x14ac:dyDescent="0.3">
      <c r="A10" t="str">
        <f t="shared" si="0"/>
        <v>Moderado-TIJOLO</v>
      </c>
      <c r="B10" t="s">
        <v>28</v>
      </c>
      <c r="C10" s="1" t="s">
        <v>23</v>
      </c>
      <c r="D10" s="19">
        <v>0.35</v>
      </c>
    </row>
    <row r="11" spans="1:4" x14ac:dyDescent="0.3">
      <c r="A11" t="str">
        <f t="shared" si="0"/>
        <v>Moderado-HÍBRIDOS</v>
      </c>
      <c r="B11" t="s">
        <v>28</v>
      </c>
      <c r="C11" s="1" t="s">
        <v>24</v>
      </c>
      <c r="D11" s="19">
        <v>0.08</v>
      </c>
    </row>
    <row r="12" spans="1:4" x14ac:dyDescent="0.3">
      <c r="A12" t="str">
        <f t="shared" si="0"/>
        <v>Moderado-FOFs</v>
      </c>
      <c r="B12" t="s">
        <v>28</v>
      </c>
      <c r="C12" s="1" t="s">
        <v>25</v>
      </c>
      <c r="D12" s="19">
        <v>0.05</v>
      </c>
    </row>
    <row r="13" spans="1:4" x14ac:dyDescent="0.3">
      <c r="A13" t="str">
        <f t="shared" si="0"/>
        <v>Moderado-DESENVOLVIMENTO</v>
      </c>
      <c r="B13" t="s">
        <v>28</v>
      </c>
      <c r="C13" s="1" t="s">
        <v>26</v>
      </c>
      <c r="D13" s="19">
        <v>0.1</v>
      </c>
    </row>
    <row r="14" spans="1:4" ht="15" thickBot="1" x14ac:dyDescent="0.35">
      <c r="A14" s="20" t="str">
        <f t="shared" si="0"/>
        <v>Moderado-HOTELARIAS</v>
      </c>
      <c r="B14" s="20" t="s">
        <v>28</v>
      </c>
      <c r="C14" s="21" t="s">
        <v>27</v>
      </c>
      <c r="D14" s="22">
        <v>0.1</v>
      </c>
    </row>
    <row r="15" spans="1:4" x14ac:dyDescent="0.3">
      <c r="A15" t="str">
        <f t="shared" si="0"/>
        <v>Agressivo-PAPEL</v>
      </c>
      <c r="B15" t="s">
        <v>29</v>
      </c>
      <c r="C15" s="1" t="s">
        <v>22</v>
      </c>
      <c r="D15" s="19">
        <v>0.5</v>
      </c>
    </row>
    <row r="16" spans="1:4" x14ac:dyDescent="0.3">
      <c r="A16" t="str">
        <f t="shared" si="0"/>
        <v>Agressivo-TIJOLO</v>
      </c>
      <c r="B16" t="s">
        <v>29</v>
      </c>
      <c r="C16" s="1" t="s">
        <v>23</v>
      </c>
      <c r="D16" s="19">
        <v>0.1</v>
      </c>
    </row>
    <row r="17" spans="1:4" x14ac:dyDescent="0.3">
      <c r="A17" t="str">
        <f t="shared" si="0"/>
        <v>Agressivo-HÍBRIDOS</v>
      </c>
      <c r="B17" t="s">
        <v>29</v>
      </c>
      <c r="C17" s="1" t="s">
        <v>24</v>
      </c>
      <c r="D17" s="19">
        <v>0.05</v>
      </c>
    </row>
    <row r="18" spans="1:4" x14ac:dyDescent="0.3">
      <c r="A18" t="str">
        <f t="shared" si="0"/>
        <v>Agressivo-FOFs</v>
      </c>
      <c r="B18" t="s">
        <v>29</v>
      </c>
      <c r="C18" s="1" t="s">
        <v>25</v>
      </c>
      <c r="D18" s="19">
        <v>0.05</v>
      </c>
    </row>
    <row r="19" spans="1:4" x14ac:dyDescent="0.3">
      <c r="A19" t="str">
        <f t="shared" si="0"/>
        <v>Agressivo-DESENVOLVIMENTO</v>
      </c>
      <c r="B19" t="s">
        <v>29</v>
      </c>
      <c r="C19" s="1" t="s">
        <v>26</v>
      </c>
      <c r="D19" s="19">
        <v>0.2</v>
      </c>
    </row>
    <row r="20" spans="1:4" x14ac:dyDescent="0.3">
      <c r="A20" t="str">
        <f t="shared" si="0"/>
        <v>Agressivo-HOTELARIAS</v>
      </c>
      <c r="B20" t="s">
        <v>29</v>
      </c>
      <c r="C20" s="1" t="s">
        <v>27</v>
      </c>
      <c r="D20" s="19">
        <v>0.1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Apoio</vt:lpstr>
      <vt:lpstr>Aporte</vt:lpstr>
      <vt:lpstr>investimento_mes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Natacha de Andrade</dc:creator>
  <cp:lastModifiedBy>Natacha de Andrade</cp:lastModifiedBy>
  <dcterms:created xsi:type="dcterms:W3CDTF">2026-01-11T15:08:41Z</dcterms:created>
  <dcterms:modified xsi:type="dcterms:W3CDTF">2026-01-11T17:25:05Z</dcterms:modified>
</cp:coreProperties>
</file>